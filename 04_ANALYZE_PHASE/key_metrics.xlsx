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\Desktop\Cyclistic_Capstone_Project\12_ANALYSIS\"/>
    </mc:Choice>
  </mc:AlternateContent>
  <xr:revisionPtr revIDLastSave="0" documentId="8_{32692240-892D-46B2-8348-B2225422DD5A}" xr6:coauthVersionLast="47" xr6:coauthVersionMax="47" xr10:uidLastSave="{00000000-0000-0000-0000-000000000000}"/>
  <bookViews>
    <workbookView xWindow="-108" yWindow="-108" windowWidth="23256" windowHeight="12456" xr2:uid="{23E68479-3A3E-4717-94E8-27DAE70269DE}"/>
  </bookViews>
  <sheets>
    <sheet name="bike_types_wide" sheetId="1" r:id="rId1"/>
    <sheet name="day_wide" sheetId="2" r:id="rId2"/>
    <sheet name="monthly_summary_wide" sheetId="4" r:id="rId3"/>
    <sheet name="overall_stats" sheetId="5" r:id="rId4"/>
    <sheet name="ride_stats" sheetId="6" r:id="rId5"/>
    <sheet name="top_casual_stations" sheetId="7" r:id="rId6"/>
    <sheet name="top_member_stations" sheetId="8" r:id="rId7"/>
  </sheets>
  <calcPr calcId="0"/>
</workbook>
</file>

<file path=xl/calcChain.xml><?xml version="1.0" encoding="utf-8"?>
<calcChain xmlns="http://schemas.openxmlformats.org/spreadsheetml/2006/main">
  <c r="F24" i="2" l="1"/>
  <c r="F23" i="2"/>
  <c r="F16" i="2"/>
  <c r="F15" i="2"/>
  <c r="G15" i="2" s="1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D9" i="2"/>
  <c r="C9" i="2"/>
  <c r="G3" i="1"/>
  <c r="G2" i="1"/>
  <c r="F4" i="1"/>
  <c r="C4" i="1"/>
  <c r="B4" i="1"/>
  <c r="F3" i="1"/>
  <c r="F2" i="1"/>
  <c r="G16" i="2" l="1"/>
  <c r="G23" i="2"/>
  <c r="G24" i="2"/>
</calcChain>
</file>

<file path=xl/sharedStrings.xml><?xml version="1.0" encoding="utf-8"?>
<sst xmlns="http://schemas.openxmlformats.org/spreadsheetml/2006/main" count="156" uniqueCount="129">
  <si>
    <t>rideable_type</t>
  </si>
  <si>
    <t>ride_count_casual</t>
  </si>
  <si>
    <t>ride_count_member</t>
  </si>
  <si>
    <t>percentage_casual</t>
  </si>
  <si>
    <t>percentage_member</t>
  </si>
  <si>
    <t>classic_bike</t>
  </si>
  <si>
    <t>electric_bike</t>
  </si>
  <si>
    <t>total</t>
  </si>
  <si>
    <t>total rides</t>
  </si>
  <si>
    <t>percentage</t>
  </si>
  <si>
    <t>overall_bike_percentage</t>
  </si>
  <si>
    <t>Casual Riders</t>
  </si>
  <si>
    <t>Annual Members</t>
  </si>
  <si>
    <t>members</t>
  </si>
  <si>
    <t>WEEKEND DISTRIBUTION (Saturday-Sunday):</t>
  </si>
  <si>
    <t xml:space="preserve">Casual Riders </t>
  </si>
  <si>
    <t>WEEKDAY DISTRIBUTION (Monday-Friday):</t>
  </si>
  <si>
    <t>Total</t>
  </si>
  <si>
    <t>Saturday</t>
  </si>
  <si>
    <t>Friday</t>
  </si>
  <si>
    <t>Thursday</t>
  </si>
  <si>
    <t>Wednesday</t>
  </si>
  <si>
    <t>Tuesday</t>
  </si>
  <si>
    <t>Monday</t>
  </si>
  <si>
    <t>Sunday</t>
  </si>
  <si>
    <t>total_rides</t>
  </si>
  <si>
    <t>difference</t>
  </si>
  <si>
    <t>avg_duration_member</t>
  </si>
  <si>
    <t>avg_duration_casual</t>
  </si>
  <si>
    <t>ride_counts_member</t>
  </si>
  <si>
    <t>ride_counts_casual</t>
  </si>
  <si>
    <t>day_of_the_week</t>
  </si>
  <si>
    <t>day_name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</si>
  <si>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</si>
  <si>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</si>
  <si>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</si>
  <si>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</si>
  <si>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</si>
  <si>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</si>
  <si>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</si>
  <si>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</si>
  <si>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</si>
  <si>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</si>
  <si>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</si>
  <si>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</si>
  <si>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casual_percentage</t>
  </si>
  <si>
    <t>month_name</t>
  </si>
  <si>
    <t>casual_pct</t>
  </si>
  <si>
    <t>member_pct</t>
  </si>
  <si>
    <t>casual_rides</t>
  </si>
  <si>
    <t>member_rides</t>
  </si>
  <si>
    <t>percentage_difference</t>
  </si>
  <si>
    <t xml:space="preserve">difference </t>
  </si>
  <si>
    <t>member</t>
  </si>
  <si>
    <t>casual</t>
  </si>
  <si>
    <t>max_length</t>
  </si>
  <si>
    <t>min_length</t>
  </si>
  <si>
    <t>median_length</t>
  </si>
  <si>
    <t>mode_length</t>
  </si>
  <si>
    <t>mean_length</t>
  </si>
  <si>
    <t>member_casual</t>
  </si>
  <si>
    <t>CHI00450</t>
  </si>
  <si>
    <t>Indiana Ave &amp; Roosevelt Rd</t>
  </si>
  <si>
    <t>CHI00474</t>
  </si>
  <si>
    <t>Clark St &amp; Armitage Ave</t>
  </si>
  <si>
    <t>CHI00313</t>
  </si>
  <si>
    <t>Wabash Ave &amp; Grand Ave</t>
  </si>
  <si>
    <t>CHI01677</t>
  </si>
  <si>
    <t>Michigan Ave &amp; Washington St</t>
  </si>
  <si>
    <t>CHI00413</t>
  </si>
  <si>
    <t>Clark St &amp; Lincoln Ave</t>
  </si>
  <si>
    <t>CHI01749</t>
  </si>
  <si>
    <t>Field Museum</t>
  </si>
  <si>
    <t>CHI00360</t>
  </si>
  <si>
    <t>Adler Planetarium</t>
  </si>
  <si>
    <t>CHI00427</t>
  </si>
  <si>
    <t>Montrose Harbor</t>
  </si>
  <si>
    <t>CHI01163</t>
  </si>
  <si>
    <t>Michigan Ave &amp; 8th St</t>
  </si>
  <si>
    <t>DuSable Lake Shore Dr &amp; Monroe St</t>
  </si>
  <si>
    <t>Streeter Dr &amp; Grand Ave</t>
  </si>
  <si>
    <t>CHI00531</t>
  </si>
  <si>
    <t>Dusable Harbor</t>
  </si>
  <si>
    <t>CHI00533</t>
  </si>
  <si>
    <t>Shedd Aquarium</t>
  </si>
  <si>
    <t>CHI00420</t>
  </si>
  <si>
    <t>Theater on the Lake</t>
  </si>
  <si>
    <t>CHI01742</t>
  </si>
  <si>
    <t>Millennium Park</t>
  </si>
  <si>
    <t>CHI01747</t>
  </si>
  <si>
    <t>CHI00525</t>
  </si>
  <si>
    <t>DuSable Lake Shore Dr &amp; North Blvd</t>
  </si>
  <si>
    <t>CHI00252</t>
  </si>
  <si>
    <t>Michigan Ave &amp; Oak St</t>
  </si>
  <si>
    <t>CHI00374</t>
  </si>
  <si>
    <t>Navy Pier</t>
  </si>
  <si>
    <t>start_station_id</t>
  </si>
  <si>
    <t>start_station_name</t>
  </si>
  <si>
    <t>Clinton St &amp; Jackson Blvd</t>
  </si>
  <si>
    <t>KA1503000014</t>
  </si>
  <si>
    <t>Ellis Ave &amp; 60th St</t>
  </si>
  <si>
    <t>TA1307000039</t>
  </si>
  <si>
    <t>Clark St &amp; Elm St</t>
  </si>
  <si>
    <t>CHI01091</t>
  </si>
  <si>
    <t>Canal St &amp; Madison St</t>
  </si>
  <si>
    <t>CHI00540</t>
  </si>
  <si>
    <t>Wells St &amp; Elm St</t>
  </si>
  <si>
    <t>CHI00294</t>
  </si>
  <si>
    <t>Wells St &amp; Huron St</t>
  </si>
  <si>
    <t>CHI00396</t>
  </si>
  <si>
    <t>Wells St &amp; Concord Ln</t>
  </si>
  <si>
    <t>CHI01772</t>
  </si>
  <si>
    <t>State St &amp; Chicago Ave</t>
  </si>
  <si>
    <t>KA1503000071</t>
  </si>
  <si>
    <t>University Ave &amp; 57th St</t>
  </si>
  <si>
    <t>TA1305000032</t>
  </si>
  <si>
    <t>Clinton St &amp; Madison St</t>
  </si>
  <si>
    <t>CHI00498</t>
  </si>
  <si>
    <t>CHI00281</t>
  </si>
  <si>
    <t>CHI00233</t>
  </si>
  <si>
    <t>WL-012</t>
  </si>
  <si>
    <t>Clinton St &amp; Washington Blvd</t>
  </si>
  <si>
    <t>CHI00509</t>
  </si>
  <si>
    <t>KA1503000043</t>
  </si>
  <si>
    <t>Kingsbury St &amp; Kinzie St</t>
  </si>
  <si>
    <t>CHI00299</t>
  </si>
  <si>
    <t>ride_count</t>
  </si>
  <si>
    <t>rank</t>
  </si>
  <si>
    <t>ride_counts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</si>
</sst>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2" fontId="0" fillId="0" borderId="16" xfId="0" applyNumberFormat="1" applyBorder="1" applyAlignment="1">
      <alignment horizontal="left"/>
    </xf>
    <xf numFmtId="2" fontId="0" fillId="0" borderId="19" xfId="0" applyNumberForma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18" fillId="0" borderId="0" xfId="0" applyFont="1" applyAlignment="1">
      <alignment horizontal="center" vertical="center"/>
    </xf>
    <xf numFmtId="0" fontId="0" fillId="0" borderId="15" xfId="0" applyBorder="1"/>
    <xf numFmtId="2" fontId="0" fillId="0" borderId="16" xfId="0" applyNumberFormat="1" applyBorder="1"/>
    <xf numFmtId="0" fontId="0" fillId="0" borderId="18" xfId="0" applyBorder="1"/>
    <xf numFmtId="2" fontId="0" fillId="0" borderId="19" xfId="0" applyNumberFormat="1" applyBorder="1"/>
    <xf numFmtId="0" fontId="16" fillId="0" borderId="14" xfId="0" applyFont="1" applyBorder="1" applyAlignment="1">
      <alignment horizontal="left"/>
    </xf>
    <xf numFmtId="0" fontId="16" fillId="0" borderId="17" xfId="0" applyFont="1" applyBorder="1" applyAlignment="1">
      <alignment horizontal="left"/>
    </xf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7" xfId="0" applyFont="1" applyBorder="1"/>
    <xf numFmtId="0" fontId="0" fillId="0" borderId="16" xfId="0" applyBorder="1"/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1DBC-F85A-4B77-B959-29BB5A9634FD}">
  <dimension ref="A1:G4"/>
  <sheetViews>
    <sheetView tabSelected="1"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6.109375" bestFit="1" customWidth="1"/>
    <col min="3" max="3" width="17.88671875" bestFit="1" customWidth="1"/>
    <col min="4" max="4" width="16.6640625" bestFit="1" customWidth="1"/>
    <col min="5" max="5" width="18.44140625" bestFit="1" customWidth="1"/>
    <col min="6" max="6" width="9.44140625" bestFit="1" customWidth="1"/>
    <col min="7" max="7" width="21.5546875" bestFit="1" customWidth="1"/>
  </cols>
  <sheetData>
    <row r="1" spans="1:7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</v>
      </c>
      <c r="G1" s="4" t="s">
        <v>10</v>
      </c>
    </row>
    <row r="2" spans="1:7" x14ac:dyDescent="0.3">
      <c r="A2" s="5" t="s">
        <v>5</v>
      </c>
      <c r="B2" s="6">
        <v>685809</v>
      </c>
      <c r="C2" s="6">
        <v>1314995</v>
      </c>
      <c r="D2" s="6">
        <v>51.29</v>
      </c>
      <c r="E2" s="6">
        <v>54.76</v>
      </c>
      <c r="F2" s="6">
        <f>SUM(B2:C2)</f>
        <v>2000804</v>
      </c>
      <c r="G2" s="11">
        <f>F2/F4*100</f>
        <v>53.51478968981116</v>
      </c>
    </row>
    <row r="3" spans="1:7" x14ac:dyDescent="0.3">
      <c r="A3" s="8" t="s">
        <v>6</v>
      </c>
      <c r="B3" s="9">
        <v>651424</v>
      </c>
      <c r="C3" s="9">
        <v>1086559</v>
      </c>
      <c r="D3" s="9">
        <v>48.71</v>
      </c>
      <c r="E3" s="9">
        <v>45.24</v>
      </c>
      <c r="F3" s="9">
        <f>SUM(B3:C3)</f>
        <v>1737983</v>
      </c>
      <c r="G3" s="12">
        <f>F3/F4*100</f>
        <v>46.48521031018884</v>
      </c>
    </row>
    <row r="4" spans="1:7" x14ac:dyDescent="0.3">
      <c r="A4" s="13" t="s">
        <v>7</v>
      </c>
      <c r="B4" s="14">
        <f>SUM(B2:B3)</f>
        <v>1337233</v>
      </c>
      <c r="C4" s="14">
        <f>SUM(C2:C3)</f>
        <v>2401554</v>
      </c>
      <c r="D4" s="14">
        <v>100</v>
      </c>
      <c r="E4" s="14">
        <v>100</v>
      </c>
      <c r="F4" s="14">
        <f>SUM(F2:F3)</f>
        <v>3738787</v>
      </c>
      <c r="G4" s="14">
        <v>100</v>
      </c>
    </row>
  </sheetData>
  <pageMargins left="0.7" right="0.7" top="0.75" bottom="0.75" header="0.3" footer="0.3"/>
  <ignoredErrors>
    <ignoredError sqref="F2:F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56E3-DB02-4F1F-BEDA-60BADD2EC0C2}">
  <dimension ref="A1:O24"/>
  <sheetViews>
    <sheetView workbookViewId="0">
      <selection activeCell="B12" sqref="B12"/>
    </sheetView>
  </sheetViews>
  <sheetFormatPr defaultRowHeight="14.4" x14ac:dyDescent="0.3"/>
  <cols>
    <col min="1" max="1" width="10.33203125" bestFit="1" customWidth="1"/>
    <col min="2" max="2" width="15" bestFit="1" customWidth="1"/>
    <col min="3" max="3" width="17" bestFit="1" customWidth="1"/>
    <col min="4" max="4" width="18.77734375" bestFit="1" customWidth="1"/>
    <col min="5" max="5" width="18" bestFit="1" customWidth="1"/>
    <col min="6" max="6" width="19.6640625" bestFit="1" customWidth="1"/>
    <col min="7" max="7" width="9.44140625" bestFit="1" customWidth="1"/>
    <col min="8" max="8" width="9.88671875" bestFit="1" customWidth="1"/>
  </cols>
  <sheetData>
    <row r="1" spans="1:15" x14ac:dyDescent="0.3">
      <c r="A1" s="2" t="s">
        <v>32</v>
      </c>
      <c r="B1" s="3" t="s">
        <v>31</v>
      </c>
      <c r="C1" s="3" t="s">
        <v>30</v>
      </c>
      <c r="D1" s="3" t="s">
        <v>29</v>
      </c>
      <c r="E1" s="3" t="s">
        <v>28</v>
      </c>
      <c r="F1" s="3" t="s">
        <v>27</v>
      </c>
      <c r="G1" s="3" t="s">
        <v>26</v>
      </c>
      <c r="H1" s="4" t="s">
        <v>25</v>
      </c>
    </row>
    <row r="2" spans="1:15" x14ac:dyDescent="0.3">
      <c r="A2" s="5" t="s">
        <v>24</v>
      </c>
      <c r="B2" s="6">
        <v>1</v>
      </c>
      <c r="C2" s="6">
        <v>204354</v>
      </c>
      <c r="D2" s="6">
        <v>284901</v>
      </c>
      <c r="E2" s="6">
        <v>23.36</v>
      </c>
      <c r="F2" s="6">
        <v>12.61</v>
      </c>
      <c r="G2" s="6">
        <f>E2-F2</f>
        <v>10.75</v>
      </c>
      <c r="H2" s="7">
        <f>C2+D2</f>
        <v>489255</v>
      </c>
    </row>
    <row r="3" spans="1:15" x14ac:dyDescent="0.3">
      <c r="A3" s="5" t="s">
        <v>23</v>
      </c>
      <c r="B3" s="6">
        <v>2</v>
      </c>
      <c r="C3" s="6">
        <v>170474</v>
      </c>
      <c r="D3" s="6">
        <v>348563</v>
      </c>
      <c r="E3" s="6">
        <v>22.17</v>
      </c>
      <c r="F3" s="6">
        <v>11.96</v>
      </c>
      <c r="G3" s="6">
        <f t="shared" ref="G3:G8" si="0">E3-F3</f>
        <v>10.210000000000001</v>
      </c>
      <c r="H3" s="7">
        <f t="shared" ref="H3:H8" si="1">C3+D3</f>
        <v>519037</v>
      </c>
    </row>
    <row r="4" spans="1:15" x14ac:dyDescent="0.3">
      <c r="A4" s="5" t="s">
        <v>22</v>
      </c>
      <c r="B4" s="6">
        <v>3</v>
      </c>
      <c r="C4" s="6">
        <v>168779</v>
      </c>
      <c r="D4" s="6">
        <v>369982</v>
      </c>
      <c r="E4" s="6">
        <v>21.5</v>
      </c>
      <c r="F4" s="6">
        <v>12.04</v>
      </c>
      <c r="G4" s="6">
        <f t="shared" si="0"/>
        <v>9.4600000000000009</v>
      </c>
      <c r="H4" s="7">
        <f t="shared" si="1"/>
        <v>538761</v>
      </c>
    </row>
    <row r="5" spans="1:15" x14ac:dyDescent="0.3">
      <c r="A5" s="5" t="s">
        <v>21</v>
      </c>
      <c r="B5" s="6">
        <v>4</v>
      </c>
      <c r="C5" s="6">
        <v>161386</v>
      </c>
      <c r="D5" s="6">
        <v>351412</v>
      </c>
      <c r="E5" s="6">
        <v>21.27</v>
      </c>
      <c r="F5" s="6">
        <v>11.96</v>
      </c>
      <c r="G5" s="6">
        <f t="shared" si="0"/>
        <v>9.3099999999999987</v>
      </c>
      <c r="H5" s="7">
        <f t="shared" si="1"/>
        <v>512798</v>
      </c>
    </row>
    <row r="6" spans="1:15" x14ac:dyDescent="0.3">
      <c r="A6" s="5" t="s">
        <v>20</v>
      </c>
      <c r="B6" s="6">
        <v>5</v>
      </c>
      <c r="C6" s="6">
        <v>179339</v>
      </c>
      <c r="D6" s="6">
        <v>367034</v>
      </c>
      <c r="E6" s="6">
        <v>21.62</v>
      </c>
      <c r="F6" s="6">
        <v>12.03</v>
      </c>
      <c r="G6" s="6">
        <f t="shared" si="0"/>
        <v>9.5900000000000016</v>
      </c>
      <c r="H6" s="7">
        <f t="shared" si="1"/>
        <v>546373</v>
      </c>
    </row>
    <row r="7" spans="1:15" x14ac:dyDescent="0.3">
      <c r="A7" s="5" t="s">
        <v>19</v>
      </c>
      <c r="B7" s="6">
        <v>6</v>
      </c>
      <c r="C7" s="6">
        <v>207963</v>
      </c>
      <c r="D7" s="6">
        <v>360452</v>
      </c>
      <c r="E7" s="6">
        <v>21.99</v>
      </c>
      <c r="F7" s="6">
        <v>12.16</v>
      </c>
      <c r="G7" s="6">
        <f t="shared" si="0"/>
        <v>9.8299999999999983</v>
      </c>
      <c r="H7" s="7">
        <f t="shared" si="1"/>
        <v>568415</v>
      </c>
    </row>
    <row r="8" spans="1:15" x14ac:dyDescent="0.3">
      <c r="A8" s="8" t="s">
        <v>18</v>
      </c>
      <c r="B8" s="9">
        <v>7</v>
      </c>
      <c r="C8" s="9">
        <v>244938</v>
      </c>
      <c r="D8" s="9">
        <v>319210</v>
      </c>
      <c r="E8" s="9">
        <v>23.05</v>
      </c>
      <c r="F8" s="9">
        <v>12.59</v>
      </c>
      <c r="G8" s="9">
        <f t="shared" si="0"/>
        <v>10.46</v>
      </c>
      <c r="H8" s="10">
        <f t="shared" si="1"/>
        <v>564148</v>
      </c>
    </row>
    <row r="9" spans="1:15" x14ac:dyDescent="0.3">
      <c r="A9" s="30" t="s">
        <v>17</v>
      </c>
      <c r="B9" s="31"/>
      <c r="C9" s="28">
        <f>SUM(C2:C8)</f>
        <v>1337233</v>
      </c>
      <c r="D9" s="29">
        <f>SUM(D2:D8)</f>
        <v>2401554</v>
      </c>
      <c r="E9" s="1"/>
      <c r="F9" s="1"/>
      <c r="G9" s="1"/>
      <c r="H9" s="1"/>
    </row>
    <row r="11" spans="1:15" ht="21" x14ac:dyDescent="0.3">
      <c r="A11" s="15" t="s">
        <v>16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4" spans="1:15" x14ac:dyDescent="0.3">
      <c r="E14" s="2" t="s">
        <v>13</v>
      </c>
      <c r="F14" s="3" t="s">
        <v>7</v>
      </c>
      <c r="G14" s="4" t="s">
        <v>9</v>
      </c>
    </row>
    <row r="15" spans="1:15" x14ac:dyDescent="0.3">
      <c r="E15" s="20" t="s">
        <v>12</v>
      </c>
      <c r="F15" s="6">
        <f>SUM(D3:D7)</f>
        <v>1797443</v>
      </c>
      <c r="G15" s="11">
        <f>F15/D9*100</f>
        <v>74.844996198294936</v>
      </c>
    </row>
    <row r="16" spans="1:15" x14ac:dyDescent="0.3">
      <c r="E16" s="21" t="s">
        <v>15</v>
      </c>
      <c r="F16" s="9">
        <f>SUM(C3:C7)</f>
        <v>887941</v>
      </c>
      <c r="G16" s="12">
        <f>F16/C9*100</f>
        <v>66.40136760011157</v>
      </c>
    </row>
    <row r="20" spans="1:15" ht="21" x14ac:dyDescent="0.3">
      <c r="A20" s="15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2" spans="1:15" x14ac:dyDescent="0.3">
      <c r="E22" s="22" t="s">
        <v>13</v>
      </c>
      <c r="F22" s="23" t="s">
        <v>7</v>
      </c>
      <c r="G22" s="24" t="s">
        <v>9</v>
      </c>
    </row>
    <row r="23" spans="1:15" x14ac:dyDescent="0.3">
      <c r="E23" s="25" t="s">
        <v>12</v>
      </c>
      <c r="F23" s="16">
        <f>D8+D2</f>
        <v>604111</v>
      </c>
      <c r="G23" s="17">
        <f>F23/D9*100</f>
        <v>25.15500380170506</v>
      </c>
    </row>
    <row r="24" spans="1:15" x14ac:dyDescent="0.3">
      <c r="E24" s="26" t="s">
        <v>11</v>
      </c>
      <c r="F24" s="18">
        <f>C8+C2</f>
        <v>449292</v>
      </c>
      <c r="G24" s="19">
        <f>F24/C9*100</f>
        <v>33.59863239988843</v>
      </c>
    </row>
  </sheetData>
  <mergeCells count="3">
    <mergeCell ref="A11:O11"/>
    <mergeCell ref="A20:O20"/>
    <mergeCell ref="A9:B9"/>
  </mergeCells>
  <pageMargins left="0.7" right="0.7" top="0.75" bottom="0.75" header="0.3" footer="0.3"/>
  <ignoredErrors>
    <ignoredError sqref="F15:F1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75C6-AF88-40B4-8A40-2C6ECB1467A6}">
  <dimension ref="A1:G13"/>
  <sheetViews>
    <sheetView workbookViewId="0">
      <selection activeCell="B16" sqref="B16"/>
    </sheetView>
  </sheetViews>
  <sheetFormatPr defaultRowHeight="14.4" x14ac:dyDescent="0.3"/>
  <cols>
    <col min="1" max="1" width="11.77734375" bestFit="1" customWidth="1"/>
    <col min="2" max="2" width="16.109375" bestFit="1" customWidth="1"/>
    <col min="3" max="3" width="17.88671875" bestFit="1" customWidth="1"/>
    <col min="4" max="4" width="18" bestFit="1" customWidth="1"/>
    <col min="5" max="5" width="19.6640625" bestFit="1" customWidth="1"/>
    <col min="6" max="6" width="9.88671875" bestFit="1" customWidth="1"/>
    <col min="7" max="7" width="16.6640625" bestFit="1" customWidth="1"/>
  </cols>
  <sheetData>
    <row r="1" spans="1:7" x14ac:dyDescent="0.3">
      <c r="A1" s="2" t="s">
        <v>46</v>
      </c>
      <c r="B1" s="3" t="s">
        <v>1</v>
      </c>
      <c r="C1" s="3" t="s">
        <v>2</v>
      </c>
      <c r="D1" s="3" t="s">
        <v>28</v>
      </c>
      <c r="E1" s="3" t="s">
        <v>27</v>
      </c>
      <c r="F1" s="3" t="s">
        <v>25</v>
      </c>
      <c r="G1" s="4" t="s">
        <v>45</v>
      </c>
    </row>
    <row r="2" spans="1:7" x14ac:dyDescent="0.3">
      <c r="A2" s="20" t="s">
        <v>44</v>
      </c>
      <c r="B2" s="6">
        <v>17110</v>
      </c>
      <c r="C2" s="6">
        <v>84130</v>
      </c>
      <c r="D2" s="6">
        <v>13.07</v>
      </c>
      <c r="E2" s="6">
        <v>9.91</v>
      </c>
      <c r="F2" s="6">
        <v>101240</v>
      </c>
      <c r="G2" s="7">
        <v>16.899999999999999</v>
      </c>
    </row>
    <row r="3" spans="1:7" x14ac:dyDescent="0.3">
      <c r="A3" s="20" t="s">
        <v>43</v>
      </c>
      <c r="B3" s="6">
        <v>19632</v>
      </c>
      <c r="C3" s="6">
        <v>89937</v>
      </c>
      <c r="D3" s="6">
        <v>13.39</v>
      </c>
      <c r="E3" s="6">
        <v>9.86</v>
      </c>
      <c r="F3" s="6">
        <v>109569</v>
      </c>
      <c r="G3" s="7">
        <v>17.920000000000002</v>
      </c>
    </row>
    <row r="4" spans="1:7" x14ac:dyDescent="0.3">
      <c r="A4" s="20" t="s">
        <v>42</v>
      </c>
      <c r="B4" s="6">
        <v>61673</v>
      </c>
      <c r="C4" s="6">
        <v>148167</v>
      </c>
      <c r="D4" s="6">
        <v>19.670000000000002</v>
      </c>
      <c r="E4" s="6">
        <v>11.15</v>
      </c>
      <c r="F4" s="6">
        <v>209840</v>
      </c>
      <c r="G4" s="7">
        <v>29.39</v>
      </c>
    </row>
    <row r="5" spans="1:7" x14ac:dyDescent="0.3">
      <c r="A5" s="20" t="s">
        <v>41</v>
      </c>
      <c r="B5" s="6">
        <v>77004</v>
      </c>
      <c r="C5" s="6">
        <v>181852</v>
      </c>
      <c r="D5" s="6">
        <v>20.72</v>
      </c>
      <c r="E5" s="6">
        <v>11.37</v>
      </c>
      <c r="F5" s="6">
        <v>258856</v>
      </c>
      <c r="G5" s="7">
        <v>29.75</v>
      </c>
    </row>
    <row r="6" spans="1:7" x14ac:dyDescent="0.3">
      <c r="A6" s="20" t="s">
        <v>40</v>
      </c>
      <c r="B6" s="6">
        <v>125635</v>
      </c>
      <c r="C6" s="6">
        <v>214999</v>
      </c>
      <c r="D6" s="6">
        <v>23.23</v>
      </c>
      <c r="E6" s="6">
        <v>12.11</v>
      </c>
      <c r="F6" s="6">
        <v>340634</v>
      </c>
      <c r="G6" s="7">
        <v>36.880000000000003</v>
      </c>
    </row>
    <row r="7" spans="1:7" x14ac:dyDescent="0.3">
      <c r="A7" s="20" t="s">
        <v>39</v>
      </c>
      <c r="B7" s="6">
        <v>193163</v>
      </c>
      <c r="C7" s="6">
        <v>253200</v>
      </c>
      <c r="D7" s="6">
        <v>24.59</v>
      </c>
      <c r="E7" s="6">
        <v>13.08</v>
      </c>
      <c r="F7" s="6">
        <v>446363</v>
      </c>
      <c r="G7" s="7">
        <v>43.27</v>
      </c>
    </row>
    <row r="8" spans="1:7" x14ac:dyDescent="0.3">
      <c r="A8" s="20" t="s">
        <v>38</v>
      </c>
      <c r="B8" s="6">
        <v>208740</v>
      </c>
      <c r="C8" s="6">
        <v>285553</v>
      </c>
      <c r="D8" s="6">
        <v>24.1</v>
      </c>
      <c r="E8" s="6">
        <v>13.43</v>
      </c>
      <c r="F8" s="6">
        <v>494293</v>
      </c>
      <c r="G8" s="7">
        <v>42.23</v>
      </c>
    </row>
    <row r="9" spans="1:7" x14ac:dyDescent="0.3">
      <c r="A9" s="20" t="s">
        <v>37</v>
      </c>
      <c r="B9" s="6">
        <v>221200</v>
      </c>
      <c r="C9" s="6">
        <v>294333</v>
      </c>
      <c r="D9" s="6">
        <v>24.27</v>
      </c>
      <c r="E9" s="6">
        <v>13.18</v>
      </c>
      <c r="F9" s="6">
        <v>515533</v>
      </c>
      <c r="G9" s="7">
        <v>42.91</v>
      </c>
    </row>
    <row r="10" spans="1:7" x14ac:dyDescent="0.3">
      <c r="A10" s="20" t="s">
        <v>36</v>
      </c>
      <c r="B10" s="6">
        <v>172500</v>
      </c>
      <c r="C10" s="6">
        <v>295381</v>
      </c>
      <c r="D10" s="6">
        <v>21.85</v>
      </c>
      <c r="E10" s="6">
        <v>12.67</v>
      </c>
      <c r="F10" s="6">
        <v>467881</v>
      </c>
      <c r="G10" s="7">
        <v>36.869999999999997</v>
      </c>
    </row>
    <row r="11" spans="1:7" x14ac:dyDescent="0.3">
      <c r="A11" s="20" t="s">
        <v>35</v>
      </c>
      <c r="B11" s="6">
        <v>143530</v>
      </c>
      <c r="C11" s="6">
        <v>274347</v>
      </c>
      <c r="D11" s="6">
        <v>20.46</v>
      </c>
      <c r="E11" s="6">
        <v>12.4</v>
      </c>
      <c r="F11" s="6">
        <v>417877</v>
      </c>
      <c r="G11" s="7">
        <v>34.35</v>
      </c>
    </row>
    <row r="12" spans="1:7" x14ac:dyDescent="0.3">
      <c r="A12" s="20" t="s">
        <v>34</v>
      </c>
      <c r="B12" s="6">
        <v>68823</v>
      </c>
      <c r="C12" s="6">
        <v>177148</v>
      </c>
      <c r="D12" s="6">
        <v>17.72</v>
      </c>
      <c r="E12" s="6">
        <v>10.95</v>
      </c>
      <c r="F12" s="6">
        <v>245971</v>
      </c>
      <c r="G12" s="7">
        <v>27.98</v>
      </c>
    </row>
    <row r="13" spans="1:7" x14ac:dyDescent="0.3">
      <c r="A13" s="21" t="s">
        <v>33</v>
      </c>
      <c r="B13" s="9">
        <v>28223</v>
      </c>
      <c r="C13" s="9">
        <v>102507</v>
      </c>
      <c r="D13" s="9">
        <v>14.91</v>
      </c>
      <c r="E13" s="9">
        <v>10.51</v>
      </c>
      <c r="F13" s="9">
        <v>130730</v>
      </c>
      <c r="G13" s="10">
        <v>21.59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F306-A46C-4EAB-BD31-0ED3B5C66BC5}">
  <dimension ref="A1:E2"/>
  <sheetViews>
    <sheetView workbookViewId="0">
      <selection activeCell="C6" sqref="C6"/>
    </sheetView>
  </sheetViews>
  <sheetFormatPr defaultRowHeight="14.4" x14ac:dyDescent="0.3"/>
  <cols>
    <col min="1" max="1" width="9.33203125" bestFit="1" customWidth="1"/>
    <col min="2" max="2" width="12.5546875" bestFit="1" customWidth="1"/>
    <col min="3" max="4" width="11.109375" bestFit="1" customWidth="1"/>
    <col min="5" max="5" width="9.6640625" bestFit="1" customWidth="1"/>
  </cols>
  <sheetData>
    <row r="1" spans="1:5" x14ac:dyDescent="0.3">
      <c r="A1" s="2" t="s">
        <v>25</v>
      </c>
      <c r="B1" s="3" t="s">
        <v>50</v>
      </c>
      <c r="C1" s="3" t="s">
        <v>49</v>
      </c>
      <c r="D1" s="3" t="s">
        <v>48</v>
      </c>
      <c r="E1" s="4" t="s">
        <v>47</v>
      </c>
    </row>
    <row r="2" spans="1:5" x14ac:dyDescent="0.3">
      <c r="A2" s="8">
        <v>3738787</v>
      </c>
      <c r="B2" s="9">
        <v>2401554</v>
      </c>
      <c r="C2" s="9">
        <v>1337233</v>
      </c>
      <c r="D2" s="9">
        <v>64.23</v>
      </c>
      <c r="E2" s="10">
        <v>35.770000000000003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7463-B048-4CB4-92DD-D525704C26E7}">
  <dimension ref="A1:F5"/>
  <sheetViews>
    <sheetView workbookViewId="0">
      <selection activeCell="H10" sqref="H10"/>
    </sheetView>
  </sheetViews>
  <sheetFormatPr defaultRowHeight="14.4" x14ac:dyDescent="0.3"/>
  <cols>
    <col min="1" max="1" width="19.33203125" bestFit="1" customWidth="1"/>
    <col min="2" max="3" width="11.21875" bestFit="1" customWidth="1"/>
    <col min="4" max="4" width="12.6640625" bestFit="1" customWidth="1"/>
    <col min="5" max="5" width="9.6640625" bestFit="1" customWidth="1"/>
    <col min="6" max="6" width="10" bestFit="1" customWidth="1"/>
  </cols>
  <sheetData>
    <row r="1" spans="1:6" x14ac:dyDescent="0.3">
      <c r="A1" s="22" t="s">
        <v>60</v>
      </c>
      <c r="B1" s="23" t="s">
        <v>59</v>
      </c>
      <c r="C1" s="23" t="s">
        <v>58</v>
      </c>
      <c r="D1" s="23" t="s">
        <v>57</v>
      </c>
      <c r="E1" s="23" t="s">
        <v>56</v>
      </c>
      <c r="F1" s="24" t="s">
        <v>55</v>
      </c>
    </row>
    <row r="2" spans="1:6" x14ac:dyDescent="0.3">
      <c r="A2" s="25" t="s">
        <v>54</v>
      </c>
      <c r="B2" s="16">
        <v>22.22</v>
      </c>
      <c r="C2" s="16">
        <v>5.97</v>
      </c>
      <c r="D2" s="16">
        <v>12.8</v>
      </c>
      <c r="E2" s="16">
        <v>0</v>
      </c>
      <c r="F2" s="27">
        <v>1439.98</v>
      </c>
    </row>
    <row r="3" spans="1:6" x14ac:dyDescent="0.3">
      <c r="A3" s="25" t="s">
        <v>53</v>
      </c>
      <c r="B3" s="16">
        <v>12.17</v>
      </c>
      <c r="C3" s="16">
        <v>4.95</v>
      </c>
      <c r="D3" s="16">
        <v>8.68</v>
      </c>
      <c r="E3" s="34">
        <v>0</v>
      </c>
      <c r="F3" s="35">
        <v>1438.65</v>
      </c>
    </row>
    <row r="4" spans="1:6" x14ac:dyDescent="0.3">
      <c r="A4" s="25" t="s">
        <v>52</v>
      </c>
      <c r="B4" s="16">
        <v>10.050000000000001</v>
      </c>
      <c r="C4" s="16">
        <v>1.02</v>
      </c>
      <c r="D4" s="32">
        <v>4.12</v>
      </c>
      <c r="E4" s="36"/>
      <c r="F4" s="37"/>
    </row>
    <row r="5" spans="1:6" x14ac:dyDescent="0.3">
      <c r="A5" s="26" t="s">
        <v>51</v>
      </c>
      <c r="B5" s="18">
        <v>82.58</v>
      </c>
      <c r="C5" s="18">
        <v>20.61</v>
      </c>
      <c r="D5" s="33">
        <v>47.47</v>
      </c>
      <c r="E5" s="38"/>
      <c r="F5" s="39"/>
    </row>
  </sheetData>
  <mergeCells count="1">
    <mergeCell ref="E4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51C9-6A45-40AB-A1D6-32D67975C706}">
  <dimension ref="A1:D21"/>
  <sheetViews>
    <sheetView workbookViewId="0">
      <selection activeCell="D1" sqref="D1"/>
    </sheetView>
  </sheetViews>
  <sheetFormatPr defaultRowHeight="14.4" x14ac:dyDescent="0.3"/>
  <cols>
    <col min="1" max="1" width="4.5546875" bestFit="1" customWidth="1"/>
    <col min="2" max="2" width="29.6640625" bestFit="1" customWidth="1"/>
    <col min="3" max="3" width="13.21875" bestFit="1" customWidth="1"/>
    <col min="4" max="4" width="10.33203125" bestFit="1" customWidth="1"/>
  </cols>
  <sheetData>
    <row r="1" spans="1:4" x14ac:dyDescent="0.3">
      <c r="A1" s="2" t="s">
        <v>127</v>
      </c>
      <c r="B1" s="3" t="s">
        <v>97</v>
      </c>
      <c r="C1" s="3" t="s">
        <v>96</v>
      </c>
      <c r="D1" s="4" t="s">
        <v>128</v>
      </c>
    </row>
    <row r="2" spans="1:4" x14ac:dyDescent="0.3">
      <c r="A2" s="5">
        <v>1</v>
      </c>
      <c r="B2" s="6" t="s">
        <v>95</v>
      </c>
      <c r="C2" s="6" t="s">
        <v>89</v>
      </c>
      <c r="D2" s="7">
        <v>23192</v>
      </c>
    </row>
    <row r="3" spans="1:4" x14ac:dyDescent="0.3">
      <c r="A3" s="5">
        <v>2</v>
      </c>
      <c r="B3" s="6" t="s">
        <v>79</v>
      </c>
      <c r="C3" s="6" t="s">
        <v>94</v>
      </c>
      <c r="D3" s="7">
        <v>20862</v>
      </c>
    </row>
    <row r="4" spans="1:4" x14ac:dyDescent="0.3">
      <c r="A4" s="5">
        <v>3</v>
      </c>
      <c r="B4" s="6" t="s">
        <v>93</v>
      </c>
      <c r="C4" s="6" t="s">
        <v>92</v>
      </c>
      <c r="D4" s="7">
        <v>16060</v>
      </c>
    </row>
    <row r="5" spans="1:4" x14ac:dyDescent="0.3">
      <c r="A5" s="5">
        <v>4</v>
      </c>
      <c r="B5" s="6" t="s">
        <v>91</v>
      </c>
      <c r="C5" s="6" t="s">
        <v>90</v>
      </c>
      <c r="D5" s="7">
        <v>14172</v>
      </c>
    </row>
    <row r="6" spans="1:4" x14ac:dyDescent="0.3">
      <c r="A6" s="5">
        <v>5</v>
      </c>
      <c r="B6" s="6" t="s">
        <v>80</v>
      </c>
      <c r="C6" s="6" t="s">
        <v>89</v>
      </c>
      <c r="D6" s="7">
        <v>13912</v>
      </c>
    </row>
    <row r="7" spans="1:4" x14ac:dyDescent="0.3">
      <c r="A7" s="5">
        <v>6</v>
      </c>
      <c r="B7" s="6" t="s">
        <v>88</v>
      </c>
      <c r="C7" s="6" t="s">
        <v>87</v>
      </c>
      <c r="D7" s="7">
        <v>12504</v>
      </c>
    </row>
    <row r="8" spans="1:4" x14ac:dyDescent="0.3">
      <c r="A8" s="5">
        <v>7</v>
      </c>
      <c r="B8" s="6" t="s">
        <v>86</v>
      </c>
      <c r="C8" s="6" t="s">
        <v>85</v>
      </c>
      <c r="D8" s="7">
        <v>11394</v>
      </c>
    </row>
    <row r="9" spans="1:4" x14ac:dyDescent="0.3">
      <c r="A9" s="5">
        <v>8</v>
      </c>
      <c r="B9" s="6" t="s">
        <v>84</v>
      </c>
      <c r="C9" s="6" t="s">
        <v>83</v>
      </c>
      <c r="D9" s="7">
        <v>10963</v>
      </c>
    </row>
    <row r="10" spans="1:4" x14ac:dyDescent="0.3">
      <c r="A10" s="5">
        <v>9</v>
      </c>
      <c r="B10" s="6" t="s">
        <v>82</v>
      </c>
      <c r="C10" s="6" t="s">
        <v>81</v>
      </c>
      <c r="D10" s="7">
        <v>10099</v>
      </c>
    </row>
    <row r="11" spans="1:4" x14ac:dyDescent="0.3">
      <c r="A11" s="5">
        <v>10</v>
      </c>
      <c r="B11" s="6" t="s">
        <v>80</v>
      </c>
      <c r="C11" s="6">
        <v>13022</v>
      </c>
      <c r="D11" s="7">
        <v>9989</v>
      </c>
    </row>
    <row r="12" spans="1:4" x14ac:dyDescent="0.3">
      <c r="A12" s="5">
        <v>11</v>
      </c>
      <c r="B12" s="6" t="s">
        <v>79</v>
      </c>
      <c r="C12" s="6">
        <v>13300</v>
      </c>
      <c r="D12" s="7">
        <v>7915</v>
      </c>
    </row>
    <row r="13" spans="1:4" x14ac:dyDescent="0.3">
      <c r="A13" s="5">
        <v>12</v>
      </c>
      <c r="B13" s="6" t="s">
        <v>78</v>
      </c>
      <c r="C13" s="6" t="s">
        <v>77</v>
      </c>
      <c r="D13" s="7">
        <v>7604</v>
      </c>
    </row>
    <row r="14" spans="1:4" x14ac:dyDescent="0.3">
      <c r="A14" s="5">
        <v>13</v>
      </c>
      <c r="B14" s="6" t="s">
        <v>76</v>
      </c>
      <c r="C14" s="6" t="s">
        <v>75</v>
      </c>
      <c r="D14" s="7">
        <v>7401</v>
      </c>
    </row>
    <row r="15" spans="1:4" x14ac:dyDescent="0.3">
      <c r="A15" s="5">
        <v>14</v>
      </c>
      <c r="B15" s="6" t="s">
        <v>74</v>
      </c>
      <c r="C15" s="6" t="s">
        <v>73</v>
      </c>
      <c r="D15" s="7">
        <v>6936</v>
      </c>
    </row>
    <row r="16" spans="1:4" x14ac:dyDescent="0.3">
      <c r="A16" s="5">
        <v>15</v>
      </c>
      <c r="B16" s="6" t="s">
        <v>72</v>
      </c>
      <c r="C16" s="6" t="s">
        <v>71</v>
      </c>
      <c r="D16" s="7">
        <v>6462</v>
      </c>
    </row>
    <row r="17" spans="1:4" x14ac:dyDescent="0.3">
      <c r="A17" s="5">
        <v>16</v>
      </c>
      <c r="B17" s="6" t="s">
        <v>70</v>
      </c>
      <c r="C17" s="6" t="s">
        <v>69</v>
      </c>
      <c r="D17" s="7">
        <v>6116</v>
      </c>
    </row>
    <row r="18" spans="1:4" x14ac:dyDescent="0.3">
      <c r="A18" s="5">
        <v>17</v>
      </c>
      <c r="B18" s="6" t="s">
        <v>68</v>
      </c>
      <c r="C18" s="6" t="s">
        <v>67</v>
      </c>
      <c r="D18" s="7">
        <v>6106</v>
      </c>
    </row>
    <row r="19" spans="1:4" x14ac:dyDescent="0.3">
      <c r="A19" s="5">
        <v>18</v>
      </c>
      <c r="B19" s="6" t="s">
        <v>66</v>
      </c>
      <c r="C19" s="6" t="s">
        <v>65</v>
      </c>
      <c r="D19" s="7">
        <v>6050</v>
      </c>
    </row>
    <row r="20" spans="1:4" x14ac:dyDescent="0.3">
      <c r="A20" s="5">
        <v>19</v>
      </c>
      <c r="B20" s="6" t="s">
        <v>64</v>
      </c>
      <c r="C20" s="6" t="s">
        <v>63</v>
      </c>
      <c r="D20" s="7">
        <v>5971</v>
      </c>
    </row>
    <row r="21" spans="1:4" x14ac:dyDescent="0.3">
      <c r="A21" s="8">
        <v>20</v>
      </c>
      <c r="B21" s="9" t="s">
        <v>62</v>
      </c>
      <c r="C21" s="9" t="s">
        <v>61</v>
      </c>
      <c r="D21" s="10">
        <v>5822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F7BC-A17D-4D78-861F-B0B1B0919744}">
  <dimension ref="A1:D21"/>
  <sheetViews>
    <sheetView workbookViewId="0">
      <selection activeCell="A3" sqref="A3"/>
    </sheetView>
  </sheetViews>
  <sheetFormatPr defaultRowHeight="14.4" x14ac:dyDescent="0.3"/>
  <cols>
    <col min="1" max="1" width="4.6640625" bestFit="1" customWidth="1"/>
    <col min="2" max="2" width="29.6640625" bestFit="1" customWidth="1"/>
    <col min="3" max="3" width="14" bestFit="1" customWidth="1"/>
    <col min="4" max="4" width="9.77734375" bestFit="1" customWidth="1"/>
  </cols>
  <sheetData>
    <row r="1" spans="1:4" x14ac:dyDescent="0.3">
      <c r="A1" s="2" t="s">
        <v>127</v>
      </c>
      <c r="B1" s="3" t="s">
        <v>97</v>
      </c>
      <c r="C1" s="3" t="s">
        <v>96</v>
      </c>
      <c r="D1" s="4" t="s">
        <v>126</v>
      </c>
    </row>
    <row r="2" spans="1:4" x14ac:dyDescent="0.3">
      <c r="A2" s="5">
        <v>1</v>
      </c>
      <c r="B2" s="6" t="s">
        <v>124</v>
      </c>
      <c r="C2" s="6" t="s">
        <v>125</v>
      </c>
      <c r="D2" s="7">
        <v>14939</v>
      </c>
    </row>
    <row r="3" spans="1:4" x14ac:dyDescent="0.3">
      <c r="A3" s="5">
        <v>2</v>
      </c>
      <c r="B3" s="6" t="s">
        <v>124</v>
      </c>
      <c r="C3" s="6" t="s">
        <v>123</v>
      </c>
      <c r="D3" s="7">
        <v>12918</v>
      </c>
    </row>
    <row r="4" spans="1:4" x14ac:dyDescent="0.3">
      <c r="A4" s="5">
        <v>3</v>
      </c>
      <c r="B4" s="6" t="s">
        <v>121</v>
      </c>
      <c r="C4" s="6" t="s">
        <v>122</v>
      </c>
      <c r="D4" s="7">
        <v>12106</v>
      </c>
    </row>
    <row r="5" spans="1:4" x14ac:dyDescent="0.3">
      <c r="A5" s="5">
        <v>4</v>
      </c>
      <c r="B5" s="6" t="s">
        <v>121</v>
      </c>
      <c r="C5" s="6" t="s">
        <v>120</v>
      </c>
      <c r="D5" s="7">
        <v>10709</v>
      </c>
    </row>
    <row r="6" spans="1:4" x14ac:dyDescent="0.3">
      <c r="A6" s="5">
        <v>5</v>
      </c>
      <c r="B6" s="6" t="s">
        <v>116</v>
      </c>
      <c r="C6" s="6" t="s">
        <v>119</v>
      </c>
      <c r="D6" s="7">
        <v>10625</v>
      </c>
    </row>
    <row r="7" spans="1:4" x14ac:dyDescent="0.3">
      <c r="A7" s="5">
        <v>6</v>
      </c>
      <c r="B7" s="6" t="s">
        <v>102</v>
      </c>
      <c r="C7" s="6" t="s">
        <v>118</v>
      </c>
      <c r="D7" s="7">
        <v>10530</v>
      </c>
    </row>
    <row r="8" spans="1:4" x14ac:dyDescent="0.3">
      <c r="A8" s="5">
        <v>7</v>
      </c>
      <c r="B8" s="6" t="s">
        <v>104</v>
      </c>
      <c r="C8" s="6" t="s">
        <v>117</v>
      </c>
      <c r="D8" s="7">
        <v>10115</v>
      </c>
    </row>
    <row r="9" spans="1:4" x14ac:dyDescent="0.3">
      <c r="A9" s="5">
        <v>8</v>
      </c>
      <c r="B9" s="6" t="s">
        <v>91</v>
      </c>
      <c r="C9" s="6" t="s">
        <v>90</v>
      </c>
      <c r="D9" s="7">
        <v>9746</v>
      </c>
    </row>
    <row r="10" spans="1:4" x14ac:dyDescent="0.3">
      <c r="A10" s="5">
        <v>9</v>
      </c>
      <c r="B10" s="6" t="s">
        <v>116</v>
      </c>
      <c r="C10" s="6" t="s">
        <v>115</v>
      </c>
      <c r="D10" s="7">
        <v>9527</v>
      </c>
    </row>
    <row r="11" spans="1:4" x14ac:dyDescent="0.3">
      <c r="A11" s="5">
        <v>10</v>
      </c>
      <c r="B11" s="6" t="s">
        <v>114</v>
      </c>
      <c r="C11" s="6" t="s">
        <v>113</v>
      </c>
      <c r="D11" s="7">
        <v>9351</v>
      </c>
    </row>
    <row r="12" spans="1:4" x14ac:dyDescent="0.3">
      <c r="A12" s="5">
        <v>11</v>
      </c>
      <c r="B12" s="6" t="s">
        <v>112</v>
      </c>
      <c r="C12" s="6" t="s">
        <v>111</v>
      </c>
      <c r="D12" s="7">
        <v>9275</v>
      </c>
    </row>
    <row r="13" spans="1:4" x14ac:dyDescent="0.3">
      <c r="A13" s="5">
        <v>12</v>
      </c>
      <c r="B13" s="6" t="s">
        <v>110</v>
      </c>
      <c r="C13" s="6" t="s">
        <v>109</v>
      </c>
      <c r="D13" s="7">
        <v>9188</v>
      </c>
    </row>
    <row r="14" spans="1:4" x14ac:dyDescent="0.3">
      <c r="A14" s="5">
        <v>13</v>
      </c>
      <c r="B14" s="6" t="s">
        <v>108</v>
      </c>
      <c r="C14" s="6" t="s">
        <v>107</v>
      </c>
      <c r="D14" s="7">
        <v>9144</v>
      </c>
    </row>
    <row r="15" spans="1:4" x14ac:dyDescent="0.3">
      <c r="A15" s="5">
        <v>14</v>
      </c>
      <c r="B15" s="6" t="s">
        <v>106</v>
      </c>
      <c r="C15" s="6" t="s">
        <v>105</v>
      </c>
      <c r="D15" s="7">
        <v>9120</v>
      </c>
    </row>
    <row r="16" spans="1:4" x14ac:dyDescent="0.3">
      <c r="A16" s="5">
        <v>15</v>
      </c>
      <c r="B16" s="6" t="s">
        <v>104</v>
      </c>
      <c r="C16" s="6">
        <v>13341</v>
      </c>
      <c r="D16" s="7">
        <v>9059</v>
      </c>
    </row>
    <row r="17" spans="1:4" x14ac:dyDescent="0.3">
      <c r="A17" s="5">
        <v>16</v>
      </c>
      <c r="B17" s="6" t="s">
        <v>98</v>
      </c>
      <c r="C17" s="6" t="s">
        <v>103</v>
      </c>
      <c r="D17" s="7">
        <v>8767</v>
      </c>
    </row>
    <row r="18" spans="1:4" x14ac:dyDescent="0.3">
      <c r="A18" s="5">
        <v>17</v>
      </c>
      <c r="B18" s="6" t="s">
        <v>102</v>
      </c>
      <c r="C18" s="6" t="s">
        <v>101</v>
      </c>
      <c r="D18" s="7">
        <v>8681</v>
      </c>
    </row>
    <row r="19" spans="1:4" x14ac:dyDescent="0.3">
      <c r="A19" s="5">
        <v>18</v>
      </c>
      <c r="B19" s="6" t="s">
        <v>100</v>
      </c>
      <c r="C19" s="6" t="s">
        <v>99</v>
      </c>
      <c r="D19" s="7">
        <v>8382</v>
      </c>
    </row>
    <row r="20" spans="1:4" x14ac:dyDescent="0.3">
      <c r="A20" s="5">
        <v>19</v>
      </c>
      <c r="B20" s="6" t="s">
        <v>98</v>
      </c>
      <c r="C20" s="6">
        <v>638</v>
      </c>
      <c r="D20" s="7">
        <v>7998</v>
      </c>
    </row>
    <row r="21" spans="1:4" x14ac:dyDescent="0.3">
      <c r="A21" s="8">
        <v>20</v>
      </c>
      <c r="B21" s="9" t="s">
        <v>86</v>
      </c>
      <c r="C21" s="9" t="s">
        <v>85</v>
      </c>
      <c r="D21" s="10">
        <v>7929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bike_types_wide</vt:lpstr>
      <vt:lpstr>day_wide</vt:lpstr>
      <vt:lpstr>monthly_summary_wide</vt:lpstr>
      <vt:lpstr>overall_stats</vt:lpstr>
      <vt:lpstr>ride_stats</vt:lpstr>
      <vt:lpstr>top_casual_stations</vt:lpstr>
      <vt:lpstr>top_member_stations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Danish Khan</cp:lastModifiedBy>
  <dcterms:created xsi:type="dcterms:W3CDTF">2025-11-16T08:58:51Z</dcterms:created>
  <dcterms:modified xsi:type="dcterms:W3CDTF">2025-11-16T08:58:51Z</dcterms:modified>
</cp:coreProperties>
</file>